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\Documents\GitHub\FTT_StandAlone_GMP\"/>
    </mc:Choice>
  </mc:AlternateContent>
  <xr:revisionPtr revIDLastSave="0" documentId="13_ncr:1_{64F650A6-0A64-41B4-BF19-FA113251C0F5}" xr6:coauthVersionLast="47" xr6:coauthVersionMax="47" xr10:uidLastSave="{00000000-0000-0000-0000-000000000000}"/>
  <bookViews>
    <workbookView xWindow="-120" yWindow="-120" windowWidth="29040" windowHeight="15840" xr2:uid="{EF9C66B1-3349-4950-85FB-2B7AF5A356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6" i="1" l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B26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B23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B7" i="1"/>
  <c r="C8" i="1"/>
  <c r="D8" i="1" s="1"/>
  <c r="E8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</calcChain>
</file>

<file path=xl/sharedStrings.xml><?xml version="1.0" encoding="utf-8"?>
<sst xmlns="http://schemas.openxmlformats.org/spreadsheetml/2006/main" count="18" uniqueCount="16">
  <si>
    <t>US LNG</t>
  </si>
  <si>
    <t>Qatar LNG</t>
  </si>
  <si>
    <t>Interconnectors</t>
  </si>
  <si>
    <t>Norway piped</t>
  </si>
  <si>
    <t>UK piped</t>
  </si>
  <si>
    <t>Other LNG</t>
  </si>
  <si>
    <t>Assumption: UK gas production will fall by 11% a year between 2025 and 2030: https://publications.parliament.uk/pa/cm5901/cmselect/cmscotaf/459/report.html</t>
  </si>
  <si>
    <t>Emission intensity in gCO2 per MJ (of electricity)</t>
  </si>
  <si>
    <t>Million cubic meters of imported gas (https://www.theguardian.com/business/nils-pratley-on-finance/2026/apr/14/uk-needs-north-sea-gas-not-us-imports-lng)</t>
  </si>
  <si>
    <t>Weighted emission intensity</t>
  </si>
  <si>
    <t xml:space="preserve">Domestic production (starting from DESNZ numbers): </t>
  </si>
  <si>
    <t>UK gas mix</t>
  </si>
  <si>
    <t>Norway + other Europe</t>
  </si>
  <si>
    <t>Norway</t>
  </si>
  <si>
    <t xml:space="preserve">Weighted intensity per kWh </t>
  </si>
  <si>
    <t>Note that IEA estimates slightly higher emissions from the US: https://iea.blob.core.windows.net/assets/5ad737ee-750d-460e-8c33-fb9140f1043d/AssessingemissionsfromLNGsupplyandabatementoptions.pdf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</si>
</sst>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indent="5"/>
    </xf>
    <xf numFmtId="0" fontId="2" fillId="0" borderId="0" xfId="0" applyFont="1" applyAlignment="1">
      <alignment horizontal="left" vertical="center" indent="5"/>
    </xf>
    <xf numFmtId="2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C65EC-5E5D-451E-9B80-7D2F43470523}">
  <dimension ref="A2:AA28"/>
  <sheetViews>
    <sheetView tabSelected="1" zoomScaleNormal="100" workbookViewId="0">
      <selection activeCell="A28" sqref="A28"/>
    </sheetView>
  </sheetViews>
  <sheetFormatPr defaultRowHeight="15" x14ac:dyDescent="0.25"/>
  <cols>
    <col min="2" max="11" width="10.5703125" bestFit="1" customWidth="1"/>
    <col min="12" max="27" width="9.5703125" bestFit="1" customWidth="1"/>
  </cols>
  <sheetData>
    <row r="2" spans="1:27" x14ac:dyDescent="0.25">
      <c r="A2" t="s">
        <v>8</v>
      </c>
    </row>
    <row r="3" spans="1:27" x14ac:dyDescent="0.25">
      <c r="A3" t="s">
        <v>6</v>
      </c>
    </row>
    <row r="4" spans="1:27" ht="14.25" customHeight="1" x14ac:dyDescent="0.25">
      <c r="A4" t="s">
        <v>10</v>
      </c>
    </row>
    <row r="5" spans="1:27" ht="14.25" customHeight="1" x14ac:dyDescent="0.25"/>
    <row r="6" spans="1:27" x14ac:dyDescent="0.25">
      <c r="A6" t="s">
        <v>11</v>
      </c>
      <c r="B6">
        <v>2025</v>
      </c>
      <c r="C6">
        <v>2026</v>
      </c>
      <c r="D6">
        <v>2027</v>
      </c>
      <c r="E6">
        <v>2028</v>
      </c>
      <c r="F6">
        <v>2029</v>
      </c>
      <c r="G6">
        <v>2030</v>
      </c>
      <c r="H6">
        <v>2031</v>
      </c>
      <c r="I6">
        <v>2032</v>
      </c>
      <c r="J6">
        <v>2033</v>
      </c>
      <c r="K6">
        <v>2034</v>
      </c>
      <c r="L6">
        <v>2035</v>
      </c>
      <c r="M6">
        <v>2036</v>
      </c>
      <c r="N6">
        <v>2037</v>
      </c>
      <c r="O6">
        <v>2038</v>
      </c>
      <c r="P6">
        <v>2039</v>
      </c>
      <c r="Q6">
        <v>2040</v>
      </c>
      <c r="R6">
        <v>2041</v>
      </c>
      <c r="S6">
        <v>2042</v>
      </c>
      <c r="T6">
        <v>2043</v>
      </c>
      <c r="U6">
        <v>2044</v>
      </c>
      <c r="V6">
        <v>2045</v>
      </c>
      <c r="W6">
        <v>2046</v>
      </c>
      <c r="X6">
        <v>2047</v>
      </c>
      <c r="Y6">
        <v>2048</v>
      </c>
      <c r="Z6">
        <v>2049</v>
      </c>
      <c r="AA6">
        <v>2050</v>
      </c>
    </row>
    <row r="7" spans="1:27" x14ac:dyDescent="0.25">
      <c r="A7" t="s">
        <v>12</v>
      </c>
      <c r="B7">
        <f>SUM(B12:B13)</f>
        <v>30.1</v>
      </c>
      <c r="C7">
        <f t="shared" ref="C7:AA7" si="0">SUM(C12:C13)</f>
        <v>25.64</v>
      </c>
      <c r="D7">
        <f t="shared" si="0"/>
        <v>30.31</v>
      </c>
      <c r="E7">
        <f t="shared" si="0"/>
        <v>27</v>
      </c>
      <c r="F7">
        <f t="shared" si="0"/>
        <v>23</v>
      </c>
      <c r="G7">
        <f t="shared" si="0"/>
        <v>17</v>
      </c>
      <c r="H7">
        <f t="shared" si="0"/>
        <v>16</v>
      </c>
      <c r="I7">
        <f t="shared" si="0"/>
        <v>14</v>
      </c>
      <c r="J7">
        <f t="shared" si="0"/>
        <v>15</v>
      </c>
      <c r="K7">
        <f t="shared" si="0"/>
        <v>12</v>
      </c>
      <c r="L7">
        <f t="shared" si="0"/>
        <v>12</v>
      </c>
      <c r="M7">
        <f t="shared" si="0"/>
        <v>8</v>
      </c>
      <c r="N7">
        <f t="shared" si="0"/>
        <v>10</v>
      </c>
      <c r="O7">
        <f t="shared" si="0"/>
        <v>9</v>
      </c>
      <c r="P7">
        <f t="shared" si="0"/>
        <v>9</v>
      </c>
      <c r="Q7">
        <f t="shared" si="0"/>
        <v>8</v>
      </c>
      <c r="R7">
        <f t="shared" si="0"/>
        <v>6</v>
      </c>
      <c r="S7">
        <f t="shared" si="0"/>
        <v>8</v>
      </c>
      <c r="T7">
        <f t="shared" si="0"/>
        <v>6</v>
      </c>
      <c r="U7">
        <f t="shared" si="0"/>
        <v>6</v>
      </c>
      <c r="V7">
        <f t="shared" si="0"/>
        <v>5</v>
      </c>
      <c r="W7">
        <f t="shared" si="0"/>
        <v>5</v>
      </c>
      <c r="X7">
        <f t="shared" si="0"/>
        <v>5</v>
      </c>
      <c r="Y7">
        <f t="shared" si="0"/>
        <v>5</v>
      </c>
      <c r="Z7">
        <f t="shared" si="0"/>
        <v>5</v>
      </c>
      <c r="AA7">
        <f t="shared" si="0"/>
        <v>5</v>
      </c>
    </row>
    <row r="8" spans="1:27" ht="14.25" customHeight="1" x14ac:dyDescent="0.25">
      <c r="A8" t="s">
        <v>4</v>
      </c>
      <c r="B8" s="4">
        <v>30.2</v>
      </c>
      <c r="C8" s="4">
        <f>B8*0.89</f>
        <v>26.878</v>
      </c>
      <c r="D8" s="4">
        <f>C8*0.89</f>
        <v>23.921420000000001</v>
      </c>
      <c r="E8" s="4">
        <f t="shared" ref="E8:AA8" si="1">D8*0.89</f>
        <v>21.290063800000002</v>
      </c>
      <c r="F8" s="4">
        <f t="shared" si="1"/>
        <v>18.948156782000002</v>
      </c>
      <c r="G8" s="4">
        <f t="shared" si="1"/>
        <v>16.863859535980001</v>
      </c>
      <c r="H8" s="4">
        <f t="shared" si="1"/>
        <v>15.008834987022201</v>
      </c>
      <c r="I8" s="4">
        <f t="shared" si="1"/>
        <v>13.357863138449758</v>
      </c>
      <c r="J8" s="4">
        <f t="shared" si="1"/>
        <v>11.888498193220284</v>
      </c>
      <c r="K8" s="4">
        <f t="shared" si="1"/>
        <v>10.580763391966054</v>
      </c>
      <c r="L8" s="4">
        <f t="shared" si="1"/>
        <v>9.4168794188497884</v>
      </c>
      <c r="M8" s="4">
        <f t="shared" si="1"/>
        <v>8.3810226827763117</v>
      </c>
      <c r="N8" s="4">
        <f t="shared" si="1"/>
        <v>7.4591101876709178</v>
      </c>
      <c r="O8" s="4">
        <f t="shared" si="1"/>
        <v>6.6386080670271168</v>
      </c>
      <c r="P8" s="4">
        <f t="shared" si="1"/>
        <v>5.9083611796541344</v>
      </c>
      <c r="Q8" s="4">
        <f t="shared" si="1"/>
        <v>5.2584414498921799</v>
      </c>
      <c r="R8" s="4">
        <f t="shared" si="1"/>
        <v>4.6800128904040399</v>
      </c>
      <c r="S8" s="4">
        <f t="shared" si="1"/>
        <v>4.1652114724595952</v>
      </c>
      <c r="T8" s="4">
        <f t="shared" si="1"/>
        <v>3.7070382104890398</v>
      </c>
      <c r="U8" s="4">
        <f t="shared" si="1"/>
        <v>3.2992640073352453</v>
      </c>
      <c r="V8" s="4">
        <f t="shared" si="1"/>
        <v>2.9363449665283685</v>
      </c>
      <c r="W8" s="4">
        <f t="shared" si="1"/>
        <v>2.6133470202102482</v>
      </c>
      <c r="X8" s="4">
        <f t="shared" si="1"/>
        <v>2.3258788479871209</v>
      </c>
      <c r="Y8" s="4">
        <f t="shared" si="1"/>
        <v>2.0700321747085377</v>
      </c>
      <c r="Z8" s="4">
        <f t="shared" si="1"/>
        <v>1.8423286354905986</v>
      </c>
      <c r="AA8" s="4">
        <f t="shared" si="1"/>
        <v>1.6396724855866327</v>
      </c>
    </row>
    <row r="9" spans="1:27" x14ac:dyDescent="0.25">
      <c r="A9" t="s">
        <v>0</v>
      </c>
      <c r="B9">
        <v>11.5</v>
      </c>
      <c r="C9">
        <v>16</v>
      </c>
      <c r="D9">
        <v>12</v>
      </c>
      <c r="E9">
        <v>17</v>
      </c>
      <c r="F9">
        <v>22</v>
      </c>
      <c r="G9">
        <v>30</v>
      </c>
      <c r="H9">
        <v>29</v>
      </c>
      <c r="I9">
        <v>29</v>
      </c>
      <c r="J9">
        <v>28</v>
      </c>
      <c r="K9">
        <v>31</v>
      </c>
      <c r="L9">
        <v>33</v>
      </c>
      <c r="M9">
        <v>36</v>
      </c>
      <c r="N9">
        <v>35</v>
      </c>
      <c r="O9">
        <v>34</v>
      </c>
      <c r="P9">
        <v>33</v>
      </c>
      <c r="Q9">
        <v>32</v>
      </c>
      <c r="R9">
        <v>34</v>
      </c>
      <c r="S9">
        <v>32</v>
      </c>
      <c r="T9">
        <v>32</v>
      </c>
      <c r="U9">
        <v>32</v>
      </c>
      <c r="V9">
        <v>30</v>
      </c>
      <c r="W9">
        <v>30</v>
      </c>
      <c r="X9">
        <v>30</v>
      </c>
      <c r="Y9">
        <v>30</v>
      </c>
      <c r="Z9">
        <v>30</v>
      </c>
      <c r="AA9">
        <v>30</v>
      </c>
    </row>
    <row r="10" spans="1:27" x14ac:dyDescent="0.25">
      <c r="A10" t="s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0.5</v>
      </c>
      <c r="I10">
        <v>1</v>
      </c>
      <c r="J10">
        <v>1</v>
      </c>
      <c r="K10">
        <v>0.2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2" spans="1:27" x14ac:dyDescent="0.25">
      <c r="A12" t="s">
        <v>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13</v>
      </c>
      <c r="B13">
        <v>29.1</v>
      </c>
      <c r="C13">
        <v>24.64</v>
      </c>
      <c r="D13">
        <v>29.31</v>
      </c>
      <c r="E13">
        <v>26</v>
      </c>
      <c r="F13">
        <v>22</v>
      </c>
      <c r="G13">
        <v>16</v>
      </c>
      <c r="H13">
        <v>15</v>
      </c>
      <c r="I13">
        <v>13</v>
      </c>
      <c r="J13">
        <v>14</v>
      </c>
      <c r="K13">
        <v>11</v>
      </c>
      <c r="L13">
        <v>11</v>
      </c>
      <c r="M13">
        <v>7</v>
      </c>
      <c r="N13">
        <v>9</v>
      </c>
      <c r="O13">
        <v>8</v>
      </c>
      <c r="P13">
        <v>8</v>
      </c>
      <c r="Q13">
        <v>7</v>
      </c>
      <c r="R13">
        <v>5</v>
      </c>
      <c r="S13">
        <v>7</v>
      </c>
      <c r="T13">
        <v>5</v>
      </c>
      <c r="U13">
        <v>5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</row>
    <row r="15" spans="1:27" x14ac:dyDescent="0.25">
      <c r="A15" t="s">
        <v>7</v>
      </c>
    </row>
    <row r="16" spans="1:27" x14ac:dyDescent="0.25">
      <c r="A16" s="5" t="s">
        <v>3</v>
      </c>
      <c r="B16" s="1"/>
      <c r="D16">
        <v>0.8</v>
      </c>
    </row>
    <row r="17" spans="1:27" x14ac:dyDescent="0.25">
      <c r="A17" s="6" t="s">
        <v>4</v>
      </c>
      <c r="B17" s="2"/>
      <c r="D17">
        <v>2.9</v>
      </c>
    </row>
    <row r="18" spans="1:27" x14ac:dyDescent="0.25">
      <c r="A18" s="6" t="s">
        <v>0</v>
      </c>
      <c r="B18" s="2"/>
      <c r="D18">
        <v>17</v>
      </c>
    </row>
    <row r="19" spans="1:27" x14ac:dyDescent="0.25">
      <c r="A19" s="6" t="s">
        <v>5</v>
      </c>
      <c r="B19" s="2"/>
      <c r="D19">
        <v>9.9</v>
      </c>
    </row>
    <row r="22" spans="1:27" x14ac:dyDescent="0.25">
      <c r="A22" s="6" t="s">
        <v>9</v>
      </c>
      <c r="B22" s="2"/>
    </row>
    <row r="23" spans="1:27" x14ac:dyDescent="0.25">
      <c r="B23" s="3">
        <f>SUMPRODUCT(B7:B10, $D$16:$D$19)/SUM(B7:B10)</f>
        <v>4.3552197802197794</v>
      </c>
      <c r="C23" s="3">
        <f t="shared" ref="C23:AA23" si="2">SUMPRODUCT(C7:C10, $D$16:$D$19)/SUM(C7:C10)</f>
        <v>5.4713628125089908</v>
      </c>
      <c r="D23" s="3">
        <f t="shared" si="2"/>
        <v>4.5740535898245192</v>
      </c>
      <c r="E23" s="3">
        <f t="shared" si="2"/>
        <v>5.7661912375471269</v>
      </c>
      <c r="F23" s="3">
        <f t="shared" si="2"/>
        <v>7.0402252707889632</v>
      </c>
      <c r="G23" s="3">
        <f t="shared" si="2"/>
        <v>8.9788858822266295</v>
      </c>
      <c r="H23" s="3">
        <f t="shared" si="2"/>
        <v>9.1602428237338263</v>
      </c>
      <c r="I23" s="3">
        <f t="shared" si="2"/>
        <v>9.6383960777456217</v>
      </c>
      <c r="J23" s="3">
        <f t="shared" si="2"/>
        <v>9.5256924406839794</v>
      </c>
      <c r="K23" s="3">
        <f t="shared" si="2"/>
        <v>10.584903930942344</v>
      </c>
      <c r="L23" s="3">
        <f t="shared" si="2"/>
        <v>10.987564092246553</v>
      </c>
      <c r="M23" s="3">
        <f t="shared" si="2"/>
        <v>12.269805606360997</v>
      </c>
      <c r="N23" s="3">
        <f t="shared" si="2"/>
        <v>11.90701514588496</v>
      </c>
      <c r="O23" s="3">
        <f t="shared" si="2"/>
        <v>12.177053042627339</v>
      </c>
      <c r="P23" s="3">
        <f t="shared" si="2"/>
        <v>12.217788983138469</v>
      </c>
      <c r="Q23" s="3">
        <f t="shared" si="2"/>
        <v>12.498209440794493</v>
      </c>
      <c r="R23" s="3">
        <f t="shared" si="2"/>
        <v>13.347624559666475</v>
      </c>
      <c r="S23" s="3">
        <f t="shared" si="2"/>
        <v>12.735795765879709</v>
      </c>
      <c r="T23" s="3">
        <f t="shared" si="2"/>
        <v>13.416210664167831</v>
      </c>
      <c r="U23" s="3">
        <f t="shared" si="2"/>
        <v>13.520043977589998</v>
      </c>
      <c r="V23" s="3">
        <f t="shared" si="2"/>
        <v>13.773477673295966</v>
      </c>
      <c r="W23" s="3">
        <f t="shared" si="2"/>
        <v>13.866851734262234</v>
      </c>
      <c r="X23" s="3">
        <f t="shared" si="2"/>
        <v>13.951313799735086</v>
      </c>
      <c r="Y23" s="3">
        <f t="shared" si="2"/>
        <v>14.027586781039616</v>
      </c>
      <c r="Z23" s="3">
        <f t="shared" si="2"/>
        <v>14.09636068830444</v>
      </c>
      <c r="AA23" s="3">
        <f t="shared" si="2"/>
        <v>14.158288407525202</v>
      </c>
    </row>
    <row r="25" spans="1:27" x14ac:dyDescent="0.25">
      <c r="A25" t="s">
        <v>14</v>
      </c>
    </row>
    <row r="26" spans="1:27" x14ac:dyDescent="0.25">
      <c r="B26" s="3">
        <f>B23*3.6</f>
        <v>15.678791208791207</v>
      </c>
      <c r="C26" s="3">
        <f t="shared" ref="C26:AA26" si="3">C23*3.6</f>
        <v>19.696906125032367</v>
      </c>
      <c r="D26" s="3">
        <f t="shared" si="3"/>
        <v>16.466592923368271</v>
      </c>
      <c r="E26" s="3">
        <f t="shared" si="3"/>
        <v>20.758288455169659</v>
      </c>
      <c r="F26" s="3">
        <f t="shared" si="3"/>
        <v>25.344810974840268</v>
      </c>
      <c r="G26" s="3">
        <f t="shared" si="3"/>
        <v>32.323989176015864</v>
      </c>
      <c r="H26" s="3">
        <f t="shared" si="3"/>
        <v>32.976874165441778</v>
      </c>
      <c r="I26" s="3">
        <f t="shared" si="3"/>
        <v>34.698225879884241</v>
      </c>
      <c r="J26" s="3">
        <f t="shared" si="3"/>
        <v>34.292492786462326</v>
      </c>
      <c r="K26" s="3">
        <f t="shared" si="3"/>
        <v>38.105654151392443</v>
      </c>
      <c r="L26" s="3">
        <f t="shared" si="3"/>
        <v>39.555230732087587</v>
      </c>
      <c r="M26" s="3">
        <f t="shared" si="3"/>
        <v>44.171300182899593</v>
      </c>
      <c r="N26" s="3">
        <f t="shared" si="3"/>
        <v>42.865254525185861</v>
      </c>
      <c r="O26" s="3">
        <f t="shared" si="3"/>
        <v>43.837390953458424</v>
      </c>
      <c r="P26" s="3">
        <f t="shared" si="3"/>
        <v>43.984040339298488</v>
      </c>
      <c r="Q26" s="3">
        <f t="shared" si="3"/>
        <v>44.993553986860178</v>
      </c>
      <c r="R26" s="3">
        <f t="shared" si="3"/>
        <v>48.05144841479931</v>
      </c>
      <c r="S26" s="3">
        <f t="shared" si="3"/>
        <v>45.848864757166957</v>
      </c>
      <c r="T26" s="3">
        <f t="shared" si="3"/>
        <v>48.298358391004193</v>
      </c>
      <c r="U26" s="3">
        <f t="shared" si="3"/>
        <v>48.672158319323991</v>
      </c>
      <c r="V26" s="3">
        <f t="shared" si="3"/>
        <v>49.584519623865482</v>
      </c>
      <c r="W26" s="3">
        <f t="shared" si="3"/>
        <v>49.920666243344044</v>
      </c>
      <c r="X26" s="3">
        <f t="shared" si="3"/>
        <v>50.224729679046312</v>
      </c>
      <c r="Y26" s="3">
        <f t="shared" si="3"/>
        <v>50.499312411742622</v>
      </c>
      <c r="Z26" s="3">
        <f t="shared" si="3"/>
        <v>50.746898477895982</v>
      </c>
      <c r="AA26" s="3">
        <f t="shared" si="3"/>
        <v>50.969838267090729</v>
      </c>
    </row>
    <row r="28" spans="1:27" x14ac:dyDescent="0.25">
      <c r="A2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Nijsse, Femke</dc:creator>
  <cp:lastModifiedBy>Nijsse, Femke</cp:lastModifiedBy>
  <dcterms:created xsi:type="dcterms:W3CDTF">2026-08-07T13:04:02Z</dcterms:created>
  <dcterms:modified xsi:type="dcterms:W3CDTF">2026-08-07T14:29:34Z</dcterms:modified>
</cp:coreProperties>
</file>